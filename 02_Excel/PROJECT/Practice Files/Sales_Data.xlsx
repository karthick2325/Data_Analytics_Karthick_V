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<sst xmlns="http://schemas.openxmlformats.org/spreadsheetml/2006/main" count="145" uniqueCount="45">
  <si>
    <t>Sales_Data.xlsx  |  SOURCE Workbook — Topic 2: External References</t>
  </si>
  <si>
    <t>This is the SOURCE file. Sales_Summary.xlsx will reference this data using external reference formulas.</t>
  </si>
  <si>
    <t>MONTHLY SALES DATA — Do NOT edit this data. Sales_Summary.xlsx will pull from here.</t>
  </si>
  <si>
    <t>TRAINER: Keep this file OPEN during the Topic 2 demo. Show learners how the reference formula points here. Then CLOSE this file to demonstrate how the formula path changes to include the full file path.</t>
  </si>
  <si>
    <t>Month</t>
  </si>
  <si>
    <t>Salesperson</t>
  </si>
  <si>
    <t>Region</t>
  </si>
  <si>
    <t>Product</t>
  </si>
  <si>
    <t>Units Sold</t>
  </si>
  <si>
    <t>Revenue (₹)</t>
  </si>
  <si>
    <t>WHAT THIS FILE IS FOR</t>
  </si>
  <si>
    <t>Jan</t>
  </si>
  <si>
    <t>Rahul Sharma</t>
  </si>
  <si>
    <t>North</t>
  </si>
  <si>
    <t>Laptop</t>
  </si>
  <si>
    <t>PURPOSE: This is the SOURCE workbook. Learners do NOT edit this file.</t>
  </si>
  <si>
    <t>Priya Menon</t>
  </si>
  <si>
    <t>South</t>
  </si>
  <si>
    <t>Mobile</t>
  </si>
  <si>
    <t>TOPIC 2 USE: Sales_Summary.xlsx will reference cells in this file using external reference formulas.</t>
  </si>
  <si>
    <t>Arjun Patel</t>
  </si>
  <si>
    <t>East</t>
  </si>
  <si>
    <t>Tablet</t>
  </si>
  <si>
    <t>DEMO STEP: Keep this file OPEN during demo. Point to formula bar in Sales_Summary.xlsx showing: ='[Sales_Data.xlsx]Sheet1'!B45</t>
  </si>
  <si>
    <t>Sara Khan</t>
  </si>
  <si>
    <t>West</t>
  </si>
  <si>
    <t>Headphones</t>
  </si>
  <si>
    <t>CLOSE DEMO: Close this file. Switch to Sales_Summary. Show how the formula path changes to include full folder path.</t>
  </si>
  <si>
    <t>Vikram Singh</t>
  </si>
  <si>
    <t>Charger</t>
  </si>
  <si>
    <t>CHANGE VALUE: Re-open this file. Change a value in B45:B49. Switch to Sales_Summary — the linked cell updates automatically.</t>
  </si>
  <si>
    <t>Feb</t>
  </si>
  <si>
    <t>KEY CELLS: B45 = Total Revenue (all months). B46=Jan Rev. B47=Feb Rev. B48=Mar Rev. B49=North Revenue.</t>
  </si>
  <si>
    <t>EXERCISE: Learners use Sales_Summary.xlsx to write =SUM('[Sales_Data.xlsx]Sheet1'!B46:B48)</t>
  </si>
  <si>
    <t>Mar</t>
  </si>
  <si>
    <t>Apr</t>
  </si>
  <si>
    <t>May</t>
  </si>
  <si>
    <t>Jun</t>
  </si>
  <si>
    <t>SUMMARY TOTALS — These cells (B44:B49) are the target for external reference formulas.</t>
  </si>
  <si>
    <t>EXERCISE: In Sales_Summary.xlsx, write formulas pointing to B45, B46, B47, B48, B49 in this file.</t>
  </si>
  <si>
    <t>Total Revenue (All Months)</t>
  </si>
  <si>
    <t>Jan Revenue</t>
  </si>
  <si>
    <t>Feb Revenue</t>
  </si>
  <si>
    <t>Mar Revenue</t>
  </si>
  <si>
    <t>North Region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</si>
</sst>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i/>
      <sz val="9.0"/>
      <color rgb="FF92400E"/>
      <name val="Arial"/>
    </font>
    <font>
      <sz val="9.0"/>
      <color rgb="FF000000"/>
      <name val="Arial"/>
    </font>
    <font>
      <b/>
      <sz val="9.0"/>
      <color rgb="FF000000"/>
      <name val="Arial"/>
    </font>
    <font>
      <i/>
      <sz val="9.0"/>
      <color rgb="FF1F4E79"/>
      <name val="Arial"/>
    </font>
    <font>
      <b/>
      <sz val="10.0"/>
      <color rgb="FF92400E"/>
      <name val="Arial"/>
    </font>
    <font>
      <b/>
      <sz val="10.0"/>
      <color rgb="FF27622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1E40AF"/>
        <bgColor rgb="FF1E40AF"/>
      </patternFill>
    </fill>
    <fill>
      <patternFill patternType="solid">
        <fgColor rgb="FFFFF9C4"/>
        <bgColor rgb="FFFFF9C4"/>
      </patternFill>
    </fill>
    <fill>
      <patternFill patternType="solid">
        <fgColor rgb="FFFFFFFF"/>
        <bgColor rgb="FFFFFFFF"/>
      </patternFill>
    </fill>
    <fill>
      <patternFill patternType="solid">
        <fgColor rgb="FFEEF3F9"/>
        <bgColor rgb="FFEEF3F9"/>
      </patternFill>
    </fill>
    <fill>
      <patternFill patternType="solid">
        <fgColor rgb="FF0F766E"/>
        <bgColor rgb="FF0F766E"/>
      </patternFill>
    </fill>
    <fill>
      <patternFill patternType="solid">
        <fgColor rgb="FFEBF5FB"/>
        <bgColor rgb="FFEBF5FB"/>
      </patternFill>
    </fill>
    <fill>
      <patternFill patternType="solid">
        <fgColor rgb="FFC6EFCE"/>
        <bgColor rgb="FFC6EFCE"/>
      </patternFill>
    </fill>
  </fills>
  <borders count="7">
    <border/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/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/>
      <right/>
      <top/>
      <bottom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5" fontId="5" numFmtId="3" xfId="0" applyAlignment="1" applyBorder="1" applyFont="1" applyNumberForma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6" fontId="5" numFmtId="3" xfId="0" applyAlignment="1" applyBorder="1" applyFont="1" applyNumberFormat="1">
      <alignment horizontal="center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1" fillId="7" fontId="3" numFmtId="0" xfId="0" applyAlignment="1" applyBorder="1" applyFill="1" applyFont="1">
      <alignment horizontal="left" shrinkToFit="0" vertical="center" wrapText="1"/>
    </xf>
    <xf borderId="1" fillId="8" fontId="7" numFmtId="0" xfId="0" applyAlignment="1" applyBorder="1" applyFill="1" applyFont="1">
      <alignment horizontal="left" shrinkToFit="0" vertical="center" wrapText="1"/>
    </xf>
    <xf borderId="4" fillId="4" fontId="8" numFmtId="0" xfId="0" applyAlignment="1" applyBorder="1" applyFont="1">
      <alignment horizontal="left" shrinkToFit="0" vertical="center" wrapText="1"/>
    </xf>
    <xf borderId="6" fillId="9" fontId="9" numFmtId="3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8.0"/>
    <col customWidth="1" min="3" max="6" width="14.0"/>
    <col customWidth="1" min="7" max="7" width="4.0"/>
    <col customWidth="1" min="8" max="8" width="55.0"/>
    <col customWidth="1" min="9" max="26" width="8.71"/>
  </cols>
  <sheetData>
    <row r="1" ht="37.5" customHeight="1">
      <c r="A1" s="1" t="s">
        <v>0</v>
      </c>
      <c r="B1" s="2"/>
      <c r="C1" s="2"/>
      <c r="D1" s="2"/>
      <c r="E1" s="2"/>
      <c r="F1" s="3"/>
    </row>
    <row r="2" ht="21.75" customHeight="1">
      <c r="A2" s="4" t="s">
        <v>1</v>
      </c>
      <c r="B2" s="2"/>
      <c r="C2" s="2"/>
      <c r="D2" s="2"/>
      <c r="E2" s="2"/>
      <c r="F2" s="3"/>
    </row>
    <row r="4" ht="24.0" customHeight="1">
      <c r="A4" s="5" t="s">
        <v>2</v>
      </c>
      <c r="B4" s="2"/>
      <c r="C4" s="2"/>
      <c r="D4" s="2"/>
      <c r="E4" s="2"/>
      <c r="F4" s="3"/>
    </row>
    <row r="5" ht="30.0" customHeight="1">
      <c r="A5" s="6" t="s">
        <v>3</v>
      </c>
      <c r="B5" s="2"/>
      <c r="C5" s="2"/>
      <c r="D5" s="2"/>
      <c r="E5" s="2"/>
      <c r="F5" s="3"/>
    </row>
    <row r="6" ht="24.0" customHeight="1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H6" s="8" t="s">
        <v>10</v>
      </c>
    </row>
    <row r="7" ht="27.75" customHeight="1">
      <c r="A7" s="9" t="s">
        <v>11</v>
      </c>
      <c r="B7" s="9" t="s">
        <v>12</v>
      </c>
      <c r="C7" s="9" t="s">
        <v>13</v>
      </c>
      <c r="D7" s="9" t="s">
        <v>14</v>
      </c>
      <c r="E7" s="10">
        <v>10.0</v>
      </c>
      <c r="F7" s="10">
        <v>434300.0</v>
      </c>
      <c r="H7" s="11" t="s">
        <v>15</v>
      </c>
    </row>
    <row r="8" ht="27.75" customHeight="1">
      <c r="A8" s="12" t="s">
        <v>11</v>
      </c>
      <c r="B8" s="12" t="s">
        <v>16</v>
      </c>
      <c r="C8" s="12" t="s">
        <v>17</v>
      </c>
      <c r="D8" s="12" t="s">
        <v>18</v>
      </c>
      <c r="E8" s="13">
        <v>9.0</v>
      </c>
      <c r="F8" s="13">
        <v>152100.0</v>
      </c>
      <c r="H8" s="14" t="s">
        <v>19</v>
      </c>
    </row>
    <row r="9" ht="27.75" customHeight="1">
      <c r="A9" s="9" t="s">
        <v>11</v>
      </c>
      <c r="B9" s="9" t="s">
        <v>20</v>
      </c>
      <c r="C9" s="9" t="s">
        <v>21</v>
      </c>
      <c r="D9" s="9" t="s">
        <v>22</v>
      </c>
      <c r="E9" s="10">
        <v>5.0</v>
      </c>
      <c r="F9" s="10">
        <v>119800.0</v>
      </c>
      <c r="H9" s="11" t="s">
        <v>23</v>
      </c>
    </row>
    <row r="10" ht="27.75" customHeight="1">
      <c r="A10" s="12" t="s">
        <v>11</v>
      </c>
      <c r="B10" s="12" t="s">
        <v>24</v>
      </c>
      <c r="C10" s="12" t="s">
        <v>25</v>
      </c>
      <c r="D10" s="12" t="s">
        <v>26</v>
      </c>
      <c r="E10" s="13">
        <v>19.0</v>
      </c>
      <c r="F10" s="13">
        <v>73100.0</v>
      </c>
      <c r="H10" s="15" t="s">
        <v>27</v>
      </c>
    </row>
    <row r="11" ht="27.75" customHeight="1">
      <c r="A11" s="9" t="s">
        <v>11</v>
      </c>
      <c r="B11" s="9" t="s">
        <v>28</v>
      </c>
      <c r="C11" s="9" t="s">
        <v>13</v>
      </c>
      <c r="D11" s="9" t="s">
        <v>29</v>
      </c>
      <c r="E11" s="10">
        <v>9.0</v>
      </c>
      <c r="F11" s="10">
        <v>6700.0</v>
      </c>
      <c r="H11" s="11" t="s">
        <v>30</v>
      </c>
    </row>
    <row r="12" ht="27.75" customHeight="1">
      <c r="A12" s="12" t="s">
        <v>31</v>
      </c>
      <c r="B12" s="12" t="s">
        <v>12</v>
      </c>
      <c r="C12" s="12" t="s">
        <v>13</v>
      </c>
      <c r="D12" s="12" t="s">
        <v>14</v>
      </c>
      <c r="E12" s="13">
        <v>18.0</v>
      </c>
      <c r="F12" s="13">
        <v>729400.0</v>
      </c>
      <c r="H12" s="14" t="s">
        <v>32</v>
      </c>
    </row>
    <row r="13" ht="27.75" customHeight="1">
      <c r="A13" s="9" t="s">
        <v>31</v>
      </c>
      <c r="B13" s="9" t="s">
        <v>16</v>
      </c>
      <c r="C13" s="9" t="s">
        <v>17</v>
      </c>
      <c r="D13" s="9" t="s">
        <v>18</v>
      </c>
      <c r="E13" s="10">
        <v>10.0</v>
      </c>
      <c r="F13" s="10">
        <v>163000.0</v>
      </c>
      <c r="H13" s="11" t="s">
        <v>33</v>
      </c>
    </row>
    <row r="14" ht="15.75" customHeight="1">
      <c r="A14" s="12" t="s">
        <v>31</v>
      </c>
      <c r="B14" s="12" t="s">
        <v>20</v>
      </c>
      <c r="C14" s="12" t="s">
        <v>21</v>
      </c>
      <c r="D14" s="12" t="s">
        <v>22</v>
      </c>
      <c r="E14" s="13">
        <v>17.0</v>
      </c>
      <c r="F14" s="13">
        <v>397200.0</v>
      </c>
    </row>
    <row r="15" ht="15.75" customHeight="1">
      <c r="A15" s="9" t="s">
        <v>31</v>
      </c>
      <c r="B15" s="9" t="s">
        <v>24</v>
      </c>
      <c r="C15" s="9" t="s">
        <v>25</v>
      </c>
      <c r="D15" s="9" t="s">
        <v>26</v>
      </c>
      <c r="E15" s="10">
        <v>8.0</v>
      </c>
      <c r="F15" s="10">
        <v>28000.0</v>
      </c>
    </row>
    <row r="16" ht="15.75" customHeight="1">
      <c r="A16" s="12" t="s">
        <v>31</v>
      </c>
      <c r="B16" s="12" t="s">
        <v>28</v>
      </c>
      <c r="C16" s="12" t="s">
        <v>13</v>
      </c>
      <c r="D16" s="12" t="s">
        <v>29</v>
      </c>
      <c r="E16" s="13">
        <v>14.0</v>
      </c>
      <c r="F16" s="13">
        <v>10500.0</v>
      </c>
    </row>
    <row r="17" ht="15.75" customHeight="1">
      <c r="A17" s="9" t="s">
        <v>34</v>
      </c>
      <c r="B17" s="9" t="s">
        <v>12</v>
      </c>
      <c r="C17" s="9" t="s">
        <v>13</v>
      </c>
      <c r="D17" s="9" t="s">
        <v>14</v>
      </c>
      <c r="E17" s="10">
        <v>12.0</v>
      </c>
      <c r="F17" s="10">
        <v>498700.0</v>
      </c>
    </row>
    <row r="18" ht="15.75" customHeight="1">
      <c r="A18" s="12" t="s">
        <v>34</v>
      </c>
      <c r="B18" s="12" t="s">
        <v>16</v>
      </c>
      <c r="C18" s="12" t="s">
        <v>17</v>
      </c>
      <c r="D18" s="12" t="s">
        <v>18</v>
      </c>
      <c r="E18" s="13">
        <v>19.0</v>
      </c>
      <c r="F18" s="13">
        <v>361100.0</v>
      </c>
    </row>
    <row r="19" ht="15.75" customHeight="1">
      <c r="A19" s="9" t="s">
        <v>34</v>
      </c>
      <c r="B19" s="9" t="s">
        <v>20</v>
      </c>
      <c r="C19" s="9" t="s">
        <v>21</v>
      </c>
      <c r="D19" s="9" t="s">
        <v>22</v>
      </c>
      <c r="E19" s="10">
        <v>19.0</v>
      </c>
      <c r="F19" s="10">
        <v>472100.0</v>
      </c>
    </row>
    <row r="20" ht="15.75" customHeight="1">
      <c r="A20" s="12" t="s">
        <v>34</v>
      </c>
      <c r="B20" s="12" t="s">
        <v>24</v>
      </c>
      <c r="C20" s="12" t="s">
        <v>25</v>
      </c>
      <c r="D20" s="12" t="s">
        <v>26</v>
      </c>
      <c r="E20" s="13">
        <v>9.0</v>
      </c>
      <c r="F20" s="13">
        <v>29600.0</v>
      </c>
    </row>
    <row r="21" ht="15.75" customHeight="1">
      <c r="A21" s="9" t="s">
        <v>34</v>
      </c>
      <c r="B21" s="9" t="s">
        <v>28</v>
      </c>
      <c r="C21" s="9" t="s">
        <v>13</v>
      </c>
      <c r="D21" s="9" t="s">
        <v>29</v>
      </c>
      <c r="E21" s="10">
        <v>4.0</v>
      </c>
      <c r="F21" s="10">
        <v>3400.0</v>
      </c>
    </row>
    <row r="22" ht="15.75" customHeight="1">
      <c r="A22" s="12" t="s">
        <v>35</v>
      </c>
      <c r="B22" s="12" t="s">
        <v>12</v>
      </c>
      <c r="C22" s="12" t="s">
        <v>13</v>
      </c>
      <c r="D22" s="12" t="s">
        <v>14</v>
      </c>
      <c r="E22" s="13">
        <v>19.0</v>
      </c>
      <c r="F22" s="13">
        <v>923600.0</v>
      </c>
    </row>
    <row r="23" ht="15.75" customHeight="1">
      <c r="A23" s="9" t="s">
        <v>35</v>
      </c>
      <c r="B23" s="9" t="s">
        <v>16</v>
      </c>
      <c r="C23" s="9" t="s">
        <v>17</v>
      </c>
      <c r="D23" s="9" t="s">
        <v>18</v>
      </c>
      <c r="E23" s="10">
        <v>19.0</v>
      </c>
      <c r="F23" s="10">
        <v>313000.0</v>
      </c>
    </row>
    <row r="24" ht="15.75" customHeight="1">
      <c r="A24" s="12" t="s">
        <v>35</v>
      </c>
      <c r="B24" s="12" t="s">
        <v>20</v>
      </c>
      <c r="C24" s="12" t="s">
        <v>21</v>
      </c>
      <c r="D24" s="12" t="s">
        <v>22</v>
      </c>
      <c r="E24" s="13">
        <v>8.0</v>
      </c>
      <c r="F24" s="13">
        <v>209700.0</v>
      </c>
    </row>
    <row r="25" ht="15.75" customHeight="1">
      <c r="A25" s="9" t="s">
        <v>35</v>
      </c>
      <c r="B25" s="9" t="s">
        <v>24</v>
      </c>
      <c r="C25" s="9" t="s">
        <v>25</v>
      </c>
      <c r="D25" s="9" t="s">
        <v>26</v>
      </c>
      <c r="E25" s="10">
        <v>4.0</v>
      </c>
      <c r="F25" s="10">
        <v>12900.0</v>
      </c>
    </row>
    <row r="26" ht="15.75" customHeight="1">
      <c r="A26" s="12" t="s">
        <v>35</v>
      </c>
      <c r="B26" s="12" t="s">
        <v>28</v>
      </c>
      <c r="C26" s="12" t="s">
        <v>13</v>
      </c>
      <c r="D26" s="12" t="s">
        <v>29</v>
      </c>
      <c r="E26" s="13">
        <v>16.0</v>
      </c>
      <c r="F26" s="13">
        <v>13600.0</v>
      </c>
    </row>
    <row r="27" ht="15.75" customHeight="1">
      <c r="A27" s="9" t="s">
        <v>36</v>
      </c>
      <c r="B27" s="9" t="s">
        <v>12</v>
      </c>
      <c r="C27" s="9" t="s">
        <v>13</v>
      </c>
      <c r="D27" s="9" t="s">
        <v>14</v>
      </c>
      <c r="E27" s="10">
        <v>19.0</v>
      </c>
      <c r="F27" s="10">
        <v>935900.0</v>
      </c>
    </row>
    <row r="28" ht="15.75" customHeight="1">
      <c r="A28" s="12" t="s">
        <v>36</v>
      </c>
      <c r="B28" s="12" t="s">
        <v>16</v>
      </c>
      <c r="C28" s="12" t="s">
        <v>17</v>
      </c>
      <c r="D28" s="12" t="s">
        <v>18</v>
      </c>
      <c r="E28" s="13">
        <v>10.0</v>
      </c>
      <c r="F28" s="13">
        <v>178000.0</v>
      </c>
    </row>
    <row r="29" ht="15.75" customHeight="1">
      <c r="A29" s="9" t="s">
        <v>36</v>
      </c>
      <c r="B29" s="9" t="s">
        <v>20</v>
      </c>
      <c r="C29" s="9" t="s">
        <v>21</v>
      </c>
      <c r="D29" s="9" t="s">
        <v>22</v>
      </c>
      <c r="E29" s="10">
        <v>19.0</v>
      </c>
      <c r="F29" s="10">
        <v>520100.0</v>
      </c>
    </row>
    <row r="30" ht="15.75" customHeight="1">
      <c r="A30" s="12" t="s">
        <v>36</v>
      </c>
      <c r="B30" s="12" t="s">
        <v>24</v>
      </c>
      <c r="C30" s="12" t="s">
        <v>25</v>
      </c>
      <c r="D30" s="12" t="s">
        <v>26</v>
      </c>
      <c r="E30" s="13">
        <v>13.0</v>
      </c>
      <c r="F30" s="13">
        <v>49500.0</v>
      </c>
    </row>
    <row r="31" ht="15.75" customHeight="1">
      <c r="A31" s="9" t="s">
        <v>36</v>
      </c>
      <c r="B31" s="9" t="s">
        <v>28</v>
      </c>
      <c r="C31" s="9" t="s">
        <v>13</v>
      </c>
      <c r="D31" s="9" t="s">
        <v>29</v>
      </c>
      <c r="E31" s="10">
        <v>3.0</v>
      </c>
      <c r="F31" s="10">
        <v>2600.0</v>
      </c>
    </row>
    <row r="32" ht="15.75" customHeight="1">
      <c r="A32" s="12" t="s">
        <v>37</v>
      </c>
      <c r="B32" s="12" t="s">
        <v>12</v>
      </c>
      <c r="C32" s="12" t="s">
        <v>13</v>
      </c>
      <c r="D32" s="12" t="s">
        <v>14</v>
      </c>
      <c r="E32" s="13">
        <v>14.0</v>
      </c>
      <c r="F32" s="13">
        <v>661600.0</v>
      </c>
    </row>
    <row r="33" ht="15.75" customHeight="1">
      <c r="A33" s="9" t="s">
        <v>37</v>
      </c>
      <c r="B33" s="9" t="s">
        <v>16</v>
      </c>
      <c r="C33" s="9" t="s">
        <v>17</v>
      </c>
      <c r="D33" s="9" t="s">
        <v>18</v>
      </c>
      <c r="E33" s="10">
        <v>18.0</v>
      </c>
      <c r="F33" s="10">
        <v>307700.0</v>
      </c>
    </row>
    <row r="34" ht="15.75" customHeight="1">
      <c r="A34" s="12" t="s">
        <v>37</v>
      </c>
      <c r="B34" s="12" t="s">
        <v>20</v>
      </c>
      <c r="C34" s="12" t="s">
        <v>21</v>
      </c>
      <c r="D34" s="12" t="s">
        <v>22</v>
      </c>
      <c r="E34" s="13">
        <v>20.0</v>
      </c>
      <c r="F34" s="13">
        <v>497200.0</v>
      </c>
    </row>
    <row r="35" ht="15.75" customHeight="1">
      <c r="A35" s="9" t="s">
        <v>37</v>
      </c>
      <c r="B35" s="9" t="s">
        <v>24</v>
      </c>
      <c r="C35" s="9" t="s">
        <v>25</v>
      </c>
      <c r="D35" s="9" t="s">
        <v>26</v>
      </c>
      <c r="E35" s="10">
        <v>6.0</v>
      </c>
      <c r="F35" s="10">
        <v>22100.0</v>
      </c>
    </row>
    <row r="36" ht="15.75" customHeight="1">
      <c r="A36" s="12" t="s">
        <v>37</v>
      </c>
      <c r="B36" s="12" t="s">
        <v>28</v>
      </c>
      <c r="C36" s="12" t="s">
        <v>13</v>
      </c>
      <c r="D36" s="12" t="s">
        <v>29</v>
      </c>
      <c r="E36" s="13">
        <v>14.0</v>
      </c>
      <c r="F36" s="13">
        <v>10100.0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24.0" customHeight="1">
      <c r="A43" s="16" t="s">
        <v>38</v>
      </c>
      <c r="B43" s="2"/>
      <c r="C43" s="2"/>
      <c r="D43" s="2"/>
      <c r="E43" s="2"/>
      <c r="F43" s="3"/>
    </row>
    <row r="44" ht="30.0" customHeight="1">
      <c r="A44" s="17" t="s">
        <v>39</v>
      </c>
      <c r="B44" s="2"/>
      <c r="C44" s="2"/>
      <c r="D44" s="2"/>
      <c r="E44" s="2"/>
      <c r="F44" s="3"/>
    </row>
    <row r="45" ht="21.75" customHeight="1">
      <c r="A45" s="18" t="s">
        <v>40</v>
      </c>
      <c r="B45" s="19">
        <f>SUMIF(A7:A36,"Jan",F7:F36)+SUMIF(A7:A36,"Feb",F7:F36)+SUMIF(A7:A36,"Mar",F7:F36)+SUMIF(A7:A36,"Apr",F7:F36)+SUMIF(A7:A36,"May",F7:F36)+SUMIF(A7:A36,"Jun",F7:F36)</f>
        <v>8136600</v>
      </c>
    </row>
    <row r="46" ht="21.75" customHeight="1">
      <c r="A46" s="18" t="s">
        <v>41</v>
      </c>
      <c r="B46" s="19">
        <f>SUMIF(A7:A36,"Jan",F7:F36)</f>
        <v>786000</v>
      </c>
    </row>
    <row r="47" ht="21.75" customHeight="1">
      <c r="A47" s="18" t="s">
        <v>42</v>
      </c>
      <c r="B47" s="19">
        <f>SUMIF(A7:A36,"Feb",F7:F36)</f>
        <v>1328100</v>
      </c>
    </row>
    <row r="48" ht="21.75" customHeight="1">
      <c r="A48" s="18" t="s">
        <v>43</v>
      </c>
      <c r="B48" s="19">
        <f>SUMIF(A7:A36,"Mar",F7:F36)</f>
        <v>1364900</v>
      </c>
    </row>
    <row r="49" ht="21.75" customHeight="1">
      <c r="A49" s="18" t="s">
        <v>44</v>
      </c>
      <c r="B49" s="19">
        <f>SUMIF(C7:C36,"North",F7:F36)</f>
        <v>4230400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A2:F2"/>
    <mergeCell ref="A4:F4"/>
    <mergeCell ref="A5:F5"/>
    <mergeCell ref="A43:F43"/>
    <mergeCell ref="A44:F44"/>
  </mergeCells>
  <printOptions/>
  <pageMargins bottom="1.0" footer="0.0" header="0.0" left="0.75" right="0.75" top="1.0"/>
  <pageSetup paperSize="9" orientation="portrait"/>
  <drawing r:id="rId1"/>
</worksheet>
</file>