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ata_Analytics_Karthick_V\06_Statistics\Assignment\Statistics_Data_Analytics_Assignment\"/>
    </mc:Choice>
  </mc:AlternateContent>
  <xr:revisionPtr revIDLastSave="0" documentId="13_ncr:1_{D48C9776-1F4E-438D-AF2B-4510F079B3F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ad_Me" sheetId="1" r:id="rId1"/>
    <sheet name="Dataset" sheetId="2" r:id="rId2"/>
  </sheets>
  <definedNames>
    <definedName name="_xlchart.v1.0" hidden="1">Dataset!$D$1</definedName>
    <definedName name="_xlchart.v1.1" hidden="1">Dataset!$D$2:$D$51</definedName>
    <definedName name="_xlchart.v1.2" hidden="1">Dataset!$D$2:$D$51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5" i="2" l="1"/>
  <c r="D93" i="2"/>
  <c r="D91" i="2"/>
  <c r="D89" i="2"/>
  <c r="D87" i="2"/>
  <c r="D85" i="2"/>
  <c r="D83" i="2"/>
  <c r="D81" i="2"/>
  <c r="D79" i="2"/>
  <c r="D63" i="2"/>
  <c r="D69" i="2"/>
  <c r="D77" i="2"/>
  <c r="D75" i="2"/>
  <c r="D73" i="2"/>
  <c r="D71" i="2"/>
  <c r="D67" i="2"/>
  <c r="D65" i="2"/>
  <c r="D61" i="2"/>
  <c r="D59" i="2"/>
  <c r="D57" i="2"/>
  <c r="D55" i="2"/>
  <c r="D53" i="2"/>
</calcChain>
</file>

<file path=xl/sharedStrings.xml><?xml version="1.0" encoding="utf-8"?>
<sst xmlns="http://schemas.openxmlformats.org/spreadsheetml/2006/main" count="298" uniqueCount="109">
  <si>
    <t>Information</t>
  </si>
  <si>
    <t>Details</t>
  </si>
  <si>
    <t>Business Domain</t>
  </si>
  <si>
    <t>E-commerce / Retail</t>
  </si>
  <si>
    <t>Number of Records</t>
  </si>
  <si>
    <t>50</t>
  </si>
  <si>
    <t>Purpose</t>
  </si>
  <si>
    <t>Statistics for Data Analytics application assignment</t>
  </si>
  <si>
    <t>Primary Analysis Variable</t>
  </si>
  <si>
    <t>Order_Value</t>
  </si>
  <si>
    <t>Recommended Tools</t>
  </si>
  <si>
    <t>Python, pandas, NumPy, seaborn</t>
  </si>
  <si>
    <t>Instruction</t>
  </si>
  <si>
    <t>Use the dataset as provided. Do not modify the original data.</t>
  </si>
  <si>
    <t>Customer_ID</t>
  </si>
  <si>
    <t>Age</t>
  </si>
  <si>
    <t>Gender</t>
  </si>
  <si>
    <t>Items_Purchased</t>
  </si>
  <si>
    <t>Discount_Percent</t>
  </si>
  <si>
    <t>Delivery_Days</t>
  </si>
  <si>
    <t>Customer_Rating</t>
  </si>
  <si>
    <t>Marketing_Spend</t>
  </si>
  <si>
    <t>Repeat_Customer</t>
  </si>
  <si>
    <t>Payment_Mode</t>
  </si>
  <si>
    <t>Order_Value_Band</t>
  </si>
  <si>
    <t>C001</t>
  </si>
  <si>
    <t>Female</t>
  </si>
  <si>
    <t>No</t>
  </si>
  <si>
    <t>Cash</t>
  </si>
  <si>
    <t>Low</t>
  </si>
  <si>
    <t>C002</t>
  </si>
  <si>
    <t>Yes</t>
  </si>
  <si>
    <t>UPI</t>
  </si>
  <si>
    <t>Medium</t>
  </si>
  <si>
    <t>C003</t>
  </si>
  <si>
    <t>Male</t>
  </si>
  <si>
    <t>Net Banking</t>
  </si>
  <si>
    <t>C004</t>
  </si>
  <si>
    <t>Debit Card</t>
  </si>
  <si>
    <t>Premium</t>
  </si>
  <si>
    <t>C005</t>
  </si>
  <si>
    <t>High</t>
  </si>
  <si>
    <t>C006</t>
  </si>
  <si>
    <t>Credit Card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</si>
  <si>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</si>
  <si>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</si>
  <si>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</si>
  <si>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</si>
  <si>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</si>
  <si>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</si>
  <si>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</si>
  <si>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</si>
  <si>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</si>
  <si>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</si>
  <si>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</si>
  <si>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</si>
  <si>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</si>
  <si>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</si>
  <si>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</si>
  <si>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</si>
  <si>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</si>
  <si>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</si>
  <si>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</si>
  <si>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</si>
  <si>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</si>
  <si>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</si>
  <si>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</si>
  <si>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</si>
  <si>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</si>
  <si>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</si>
  <si>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</si>
  <si>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</si>
  <si>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</si>
  <si>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</si>
  <si>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</si>
  <si>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</si>
  <si>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</si>
  <si>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</si>
  <si>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</si>
  <si>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</si>
  <si>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</si>
  <si>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</si>
  <si>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</si>
  <si>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</si>
  <si>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</si>
  <si>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</si>
  <si>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</si>
  <si>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</si>
  <si>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MEAN =</t>
  </si>
  <si>
    <t>MEDIAN =</t>
  </si>
  <si>
    <t>MODE =</t>
  </si>
  <si>
    <t>VARIANCE =</t>
  </si>
  <si>
    <t>STA.DEV =</t>
  </si>
  <si>
    <t>Q1=</t>
  </si>
  <si>
    <t>Q2=</t>
  </si>
  <si>
    <t>Q3=</t>
  </si>
  <si>
    <t>P25=</t>
  </si>
  <si>
    <t>P50=</t>
  </si>
  <si>
    <t>P75=</t>
  </si>
  <si>
    <t>P90=</t>
  </si>
  <si>
    <t>IQR=</t>
  </si>
  <si>
    <t>LOWER BOUNDARY =</t>
  </si>
  <si>
    <t>AFTER OUTLIER EXCLUDE=</t>
  </si>
  <si>
    <t>KURTOSIS=</t>
  </si>
  <si>
    <t>randomly selected customer</t>
  </si>
  <si>
    <t>discount greater than 20%</t>
  </si>
  <si>
    <t>more than 5 days to deliver</t>
  </si>
  <si>
    <t>epeat Customer probability</t>
  </si>
  <si>
    <t>overall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</si>
</sst>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Order Value Histogram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00000000-6EE2-4653-9563-1E3B1A6C41B0}">
          <cx:tx>
            <cx:txData>
              <cx:f>_xlchart.v1.0</cx:f>
              <cx:v>Order_Value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Order Value Boxplot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IN"/>
            <a:t>Order Value Boxplot</a:t>
          </a:r>
        </a:p>
      </cx:txPr>
    </cx:title>
    <cx:plotArea>
      <cx:plotAreaRegion>
        <cx:series layoutId="boxWhisker" uniqueId="{00000000-3DD1-4222-ABD2-3832F4F251A4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77390</xdr:colOff>
      <xdr:row>57</xdr:row>
      <xdr:rowOff>86915</xdr:rowOff>
    </xdr:from>
    <xdr:to>
      <xdr:col>8</xdr:col>
      <xdr:colOff>1077515</xdr:colOff>
      <xdr:row>71</xdr:row>
      <xdr:rowOff>163115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33BC5A3-1804-3616-B944-458A44997F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7640" y="1094541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11907</xdr:colOff>
      <xdr:row>72</xdr:row>
      <xdr:rowOff>182167</xdr:rowOff>
    </xdr:from>
    <xdr:to>
      <xdr:col>8</xdr:col>
      <xdr:colOff>1012032</xdr:colOff>
      <xdr:row>87</xdr:row>
      <xdr:rowOff>67867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F043EFC-F750-EEC7-0E86-C87F409045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22157" y="1389816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1</xdr:row>
      <xdr:rowOff>0</xdr:rowOff>
    </xdr:from>
    <xdr:to>
      <xdr:col>3</xdr:col>
      <xdr:colOff>571500</xdr:colOff>
      <xdr:row>3</xdr:row>
      <xdr:rowOff>76200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C7AFED3D-D54B-A22E-F929-E9903D34D5B7}"/>
            </a:ext>
          </a:extLst>
        </xdr:cNvPr>
        <xdr:cNvSpPr txBox="1">
          <a:spLocks noChangeArrowheads="1"/>
        </xdr:cNvSpPr>
      </xdr:nvSpPr>
      <xdr:spPr bwMode="auto">
        <a:xfrm>
          <a:off x="3343275" y="190500"/>
          <a:ext cx="57150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Order Value Boxplot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5"/>
  <sheetViews>
    <sheetView tabSelected="1" topLeftCell="A87" zoomScale="80" zoomScaleNormal="80" workbookViewId="0">
      <selection activeCell="C99" sqref="C99"/>
    </sheetView>
  </sheetViews>
  <sheetFormatPr defaultRowHeight="15" x14ac:dyDescent="0.25"/>
  <cols>
    <col min="1" max="1" width="20.5703125" customWidth="1"/>
    <col min="3" max="3" width="20.42578125" customWidth="1"/>
    <col min="4" max="4" width="19" customWidth="1"/>
    <col min="5" max="5" width="18" customWidth="1"/>
    <col min="6" max="6" width="16.7109375" customWidth="1"/>
    <col min="7" max="7" width="20.5703125" customWidth="1"/>
    <col min="8" max="8" width="16.28515625" customWidth="1"/>
    <col min="9" max="9" width="25.28515625" customWidth="1"/>
    <col min="10" max="10" width="18.5703125" customWidth="1"/>
    <col min="11" max="11" width="15.5703125" customWidth="1"/>
    <col min="12" max="12" width="18.42578125" customWidth="1"/>
  </cols>
  <sheetData>
    <row r="1" spans="1:12" x14ac:dyDescent="0.25">
      <c r="A1" s="1" t="s">
        <v>14</v>
      </c>
      <c r="B1" s="1" t="s">
        <v>15</v>
      </c>
      <c r="C1" s="1" t="s">
        <v>16</v>
      </c>
      <c r="D1" s="1" t="s">
        <v>9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</row>
    <row r="2" spans="1:12" x14ac:dyDescent="0.25">
      <c r="A2" t="s">
        <v>25</v>
      </c>
      <c r="B2">
        <v>28</v>
      </c>
      <c r="C2" t="s">
        <v>26</v>
      </c>
      <c r="D2">
        <v>2350</v>
      </c>
      <c r="E2">
        <v>3</v>
      </c>
      <c r="F2">
        <v>10</v>
      </c>
      <c r="G2">
        <v>1</v>
      </c>
      <c r="H2">
        <v>5</v>
      </c>
      <c r="I2">
        <v>2440</v>
      </c>
      <c r="J2" t="s">
        <v>27</v>
      </c>
      <c r="K2" t="s">
        <v>28</v>
      </c>
      <c r="L2" t="s">
        <v>29</v>
      </c>
    </row>
    <row r="3" spans="1:12" x14ac:dyDescent="0.25">
      <c r="A3" t="s">
        <v>30</v>
      </c>
      <c r="B3">
        <v>39</v>
      </c>
      <c r="C3" t="s">
        <v>26</v>
      </c>
      <c r="D3">
        <v>5600</v>
      </c>
      <c r="E3">
        <v>4</v>
      </c>
      <c r="F3">
        <v>0</v>
      </c>
      <c r="G3">
        <v>2</v>
      </c>
      <c r="H3">
        <v>5</v>
      </c>
      <c r="I3">
        <v>2383</v>
      </c>
      <c r="J3" t="s">
        <v>31</v>
      </c>
      <c r="K3" t="s">
        <v>32</v>
      </c>
      <c r="L3" t="s">
        <v>33</v>
      </c>
    </row>
    <row r="4" spans="1:12" x14ac:dyDescent="0.25">
      <c r="A4" t="s">
        <v>34</v>
      </c>
      <c r="B4">
        <v>26</v>
      </c>
      <c r="C4" t="s">
        <v>35</v>
      </c>
      <c r="D4">
        <v>4750</v>
      </c>
      <c r="E4">
        <v>4</v>
      </c>
      <c r="F4">
        <v>25</v>
      </c>
      <c r="G4">
        <v>3</v>
      </c>
      <c r="H4">
        <v>5</v>
      </c>
      <c r="I4">
        <v>1449</v>
      </c>
      <c r="J4" t="s">
        <v>27</v>
      </c>
      <c r="K4" t="s">
        <v>36</v>
      </c>
      <c r="L4" t="s">
        <v>33</v>
      </c>
    </row>
    <row r="5" spans="1:12" x14ac:dyDescent="0.25">
      <c r="A5" t="s">
        <v>37</v>
      </c>
      <c r="B5">
        <v>48</v>
      </c>
      <c r="C5" t="s">
        <v>26</v>
      </c>
      <c r="D5">
        <v>30000</v>
      </c>
      <c r="E5">
        <v>12</v>
      </c>
      <c r="F5">
        <v>25</v>
      </c>
      <c r="G5">
        <v>3</v>
      </c>
      <c r="H5">
        <v>5</v>
      </c>
      <c r="I5">
        <v>6777</v>
      </c>
      <c r="J5" t="s">
        <v>31</v>
      </c>
      <c r="K5" t="s">
        <v>38</v>
      </c>
      <c r="L5" t="s">
        <v>39</v>
      </c>
    </row>
    <row r="6" spans="1:12" x14ac:dyDescent="0.25">
      <c r="A6" t="s">
        <v>40</v>
      </c>
      <c r="B6">
        <v>40</v>
      </c>
      <c r="C6" t="s">
        <v>35</v>
      </c>
      <c r="D6">
        <v>9200</v>
      </c>
      <c r="E6">
        <v>10</v>
      </c>
      <c r="F6">
        <v>5</v>
      </c>
      <c r="G6">
        <v>4</v>
      </c>
      <c r="H6">
        <v>4</v>
      </c>
      <c r="I6">
        <v>3698</v>
      </c>
      <c r="J6" t="s">
        <v>27</v>
      </c>
      <c r="K6" t="s">
        <v>32</v>
      </c>
      <c r="L6" t="s">
        <v>41</v>
      </c>
    </row>
    <row r="7" spans="1:12" x14ac:dyDescent="0.25">
      <c r="A7" t="s">
        <v>42</v>
      </c>
      <c r="B7">
        <v>34</v>
      </c>
      <c r="C7" t="s">
        <v>35</v>
      </c>
      <c r="D7">
        <v>6000</v>
      </c>
      <c r="E7">
        <v>5</v>
      </c>
      <c r="F7">
        <v>15</v>
      </c>
      <c r="G7">
        <v>5</v>
      </c>
      <c r="H7">
        <v>3</v>
      </c>
      <c r="I7">
        <v>2391</v>
      </c>
      <c r="J7" t="s">
        <v>27</v>
      </c>
      <c r="K7" t="s">
        <v>43</v>
      </c>
      <c r="L7" t="s">
        <v>33</v>
      </c>
    </row>
    <row r="8" spans="1:12" x14ac:dyDescent="0.25">
      <c r="A8" t="s">
        <v>44</v>
      </c>
      <c r="B8">
        <v>30</v>
      </c>
      <c r="C8" t="s">
        <v>35</v>
      </c>
      <c r="D8">
        <v>18000</v>
      </c>
      <c r="E8">
        <v>12</v>
      </c>
      <c r="F8">
        <v>5</v>
      </c>
      <c r="G8">
        <v>6</v>
      </c>
      <c r="H8">
        <v>3</v>
      </c>
      <c r="I8">
        <v>5172</v>
      </c>
      <c r="J8" t="s">
        <v>31</v>
      </c>
      <c r="K8" t="s">
        <v>38</v>
      </c>
      <c r="L8" t="s">
        <v>39</v>
      </c>
    </row>
    <row r="9" spans="1:12" x14ac:dyDescent="0.25">
      <c r="A9" t="s">
        <v>45</v>
      </c>
      <c r="B9">
        <v>43</v>
      </c>
      <c r="C9" t="s">
        <v>26</v>
      </c>
      <c r="D9">
        <v>14000</v>
      </c>
      <c r="E9">
        <v>12</v>
      </c>
      <c r="F9">
        <v>20</v>
      </c>
      <c r="G9">
        <v>3</v>
      </c>
      <c r="H9">
        <v>4</v>
      </c>
      <c r="I9">
        <v>2846</v>
      </c>
      <c r="J9" t="s">
        <v>27</v>
      </c>
      <c r="K9" t="s">
        <v>32</v>
      </c>
      <c r="L9" t="s">
        <v>41</v>
      </c>
    </row>
    <row r="10" spans="1:12" x14ac:dyDescent="0.25">
      <c r="A10" t="s">
        <v>46</v>
      </c>
      <c r="B10">
        <v>47</v>
      </c>
      <c r="C10" t="s">
        <v>35</v>
      </c>
      <c r="D10">
        <v>15500</v>
      </c>
      <c r="E10">
        <v>12</v>
      </c>
      <c r="F10">
        <v>10</v>
      </c>
      <c r="G10">
        <v>3</v>
      </c>
      <c r="H10">
        <v>4</v>
      </c>
      <c r="I10">
        <v>4913</v>
      </c>
      <c r="J10" t="s">
        <v>27</v>
      </c>
      <c r="K10" t="s">
        <v>43</v>
      </c>
      <c r="L10" t="s">
        <v>39</v>
      </c>
    </row>
    <row r="11" spans="1:12" x14ac:dyDescent="0.25">
      <c r="A11" t="s">
        <v>47</v>
      </c>
      <c r="B11">
        <v>58</v>
      </c>
      <c r="C11" t="s">
        <v>26</v>
      </c>
      <c r="D11">
        <v>4300</v>
      </c>
      <c r="E11">
        <v>5</v>
      </c>
      <c r="F11">
        <v>20</v>
      </c>
      <c r="G11">
        <v>4</v>
      </c>
      <c r="H11">
        <v>4</v>
      </c>
      <c r="I11">
        <v>2141</v>
      </c>
      <c r="J11" t="s">
        <v>27</v>
      </c>
      <c r="K11" t="s">
        <v>36</v>
      </c>
      <c r="L11" t="s">
        <v>33</v>
      </c>
    </row>
    <row r="12" spans="1:12" x14ac:dyDescent="0.25">
      <c r="A12" t="s">
        <v>48</v>
      </c>
      <c r="B12">
        <v>38</v>
      </c>
      <c r="C12" t="s">
        <v>26</v>
      </c>
      <c r="D12">
        <v>8400</v>
      </c>
      <c r="E12">
        <v>10</v>
      </c>
      <c r="F12">
        <v>20</v>
      </c>
      <c r="G12">
        <v>3</v>
      </c>
      <c r="H12">
        <v>4</v>
      </c>
      <c r="I12">
        <v>2026</v>
      </c>
      <c r="J12" t="s">
        <v>31</v>
      </c>
      <c r="K12" t="s">
        <v>32</v>
      </c>
      <c r="L12" t="s">
        <v>41</v>
      </c>
    </row>
    <row r="13" spans="1:12" x14ac:dyDescent="0.25">
      <c r="A13" t="s">
        <v>49</v>
      </c>
      <c r="B13">
        <v>27</v>
      </c>
      <c r="C13" t="s">
        <v>26</v>
      </c>
      <c r="D13">
        <v>6800</v>
      </c>
      <c r="E13">
        <v>5</v>
      </c>
      <c r="F13">
        <v>20</v>
      </c>
      <c r="G13">
        <v>3</v>
      </c>
      <c r="H13">
        <v>4</v>
      </c>
      <c r="I13">
        <v>2090</v>
      </c>
      <c r="J13" t="s">
        <v>27</v>
      </c>
      <c r="K13" t="s">
        <v>43</v>
      </c>
      <c r="L13" t="s">
        <v>33</v>
      </c>
    </row>
    <row r="14" spans="1:12" x14ac:dyDescent="0.25">
      <c r="A14" t="s">
        <v>50</v>
      </c>
      <c r="B14">
        <v>54</v>
      </c>
      <c r="C14" t="s">
        <v>26</v>
      </c>
      <c r="D14">
        <v>9600</v>
      </c>
      <c r="E14">
        <v>9</v>
      </c>
      <c r="F14">
        <v>5</v>
      </c>
      <c r="G14">
        <v>2</v>
      </c>
      <c r="H14">
        <v>4</v>
      </c>
      <c r="I14">
        <v>3183</v>
      </c>
      <c r="J14" t="s">
        <v>31</v>
      </c>
      <c r="K14" t="s">
        <v>43</v>
      </c>
      <c r="L14" t="s">
        <v>41</v>
      </c>
    </row>
    <row r="15" spans="1:12" x14ac:dyDescent="0.25">
      <c r="A15" t="s">
        <v>51</v>
      </c>
      <c r="B15">
        <v>46</v>
      </c>
      <c r="C15" t="s">
        <v>26</v>
      </c>
      <c r="D15">
        <v>5200</v>
      </c>
      <c r="E15">
        <v>6</v>
      </c>
      <c r="F15">
        <v>25</v>
      </c>
      <c r="G15">
        <v>3</v>
      </c>
      <c r="H15">
        <v>4</v>
      </c>
      <c r="I15">
        <v>2078</v>
      </c>
      <c r="J15" t="s">
        <v>27</v>
      </c>
      <c r="K15" t="s">
        <v>32</v>
      </c>
      <c r="L15" t="s">
        <v>33</v>
      </c>
    </row>
    <row r="16" spans="1:12" x14ac:dyDescent="0.25">
      <c r="A16" t="s">
        <v>52</v>
      </c>
      <c r="B16">
        <v>49</v>
      </c>
      <c r="C16" t="s">
        <v>26</v>
      </c>
      <c r="D16">
        <v>4450</v>
      </c>
      <c r="E16">
        <v>5</v>
      </c>
      <c r="F16">
        <v>5</v>
      </c>
      <c r="G16">
        <v>6</v>
      </c>
      <c r="H16">
        <v>3</v>
      </c>
      <c r="I16">
        <v>1689</v>
      </c>
      <c r="J16" t="s">
        <v>31</v>
      </c>
      <c r="K16" t="s">
        <v>36</v>
      </c>
      <c r="L16" t="s">
        <v>33</v>
      </c>
    </row>
    <row r="17" spans="1:12" x14ac:dyDescent="0.25">
      <c r="A17" t="s">
        <v>53</v>
      </c>
      <c r="B17">
        <v>24</v>
      </c>
      <c r="C17" t="s">
        <v>35</v>
      </c>
      <c r="D17">
        <v>2750</v>
      </c>
      <c r="E17">
        <v>3</v>
      </c>
      <c r="F17">
        <v>0</v>
      </c>
      <c r="G17">
        <v>4</v>
      </c>
      <c r="H17">
        <v>4</v>
      </c>
      <c r="I17">
        <v>1438</v>
      </c>
      <c r="J17" t="s">
        <v>27</v>
      </c>
      <c r="K17" t="s">
        <v>38</v>
      </c>
      <c r="L17" t="s">
        <v>29</v>
      </c>
    </row>
    <row r="18" spans="1:12" x14ac:dyDescent="0.25">
      <c r="A18" t="s">
        <v>54</v>
      </c>
      <c r="B18">
        <v>33</v>
      </c>
      <c r="C18" t="s">
        <v>35</v>
      </c>
      <c r="D18">
        <v>2100</v>
      </c>
      <c r="E18">
        <v>2</v>
      </c>
      <c r="F18">
        <v>15</v>
      </c>
      <c r="G18">
        <v>3</v>
      </c>
      <c r="H18">
        <v>4</v>
      </c>
      <c r="I18">
        <v>1198</v>
      </c>
      <c r="J18" t="s">
        <v>27</v>
      </c>
      <c r="K18" t="s">
        <v>32</v>
      </c>
      <c r="L18" t="s">
        <v>29</v>
      </c>
    </row>
    <row r="19" spans="1:12" x14ac:dyDescent="0.25">
      <c r="A19" t="s">
        <v>55</v>
      </c>
      <c r="B19">
        <v>51</v>
      </c>
      <c r="C19" t="s">
        <v>35</v>
      </c>
      <c r="D19">
        <v>8800</v>
      </c>
      <c r="E19">
        <v>7</v>
      </c>
      <c r="F19">
        <v>10</v>
      </c>
      <c r="G19">
        <v>3</v>
      </c>
      <c r="H19">
        <v>4</v>
      </c>
      <c r="I19">
        <v>2935</v>
      </c>
      <c r="J19" t="s">
        <v>31</v>
      </c>
      <c r="K19" t="s">
        <v>28</v>
      </c>
      <c r="L19" t="s">
        <v>41</v>
      </c>
    </row>
    <row r="20" spans="1:12" x14ac:dyDescent="0.25">
      <c r="A20" t="s">
        <v>56</v>
      </c>
      <c r="B20">
        <v>54</v>
      </c>
      <c r="C20" t="s">
        <v>35</v>
      </c>
      <c r="D20">
        <v>6400</v>
      </c>
      <c r="E20">
        <v>5</v>
      </c>
      <c r="F20">
        <v>25</v>
      </c>
      <c r="G20">
        <v>4</v>
      </c>
      <c r="H20">
        <v>3</v>
      </c>
      <c r="I20">
        <v>3264</v>
      </c>
      <c r="J20" t="s">
        <v>27</v>
      </c>
      <c r="K20" t="s">
        <v>36</v>
      </c>
      <c r="L20" t="s">
        <v>33</v>
      </c>
    </row>
    <row r="21" spans="1:12" x14ac:dyDescent="0.25">
      <c r="A21" t="s">
        <v>57</v>
      </c>
      <c r="B21">
        <v>38</v>
      </c>
      <c r="C21" t="s">
        <v>26</v>
      </c>
      <c r="D21">
        <v>5400</v>
      </c>
      <c r="E21">
        <v>5</v>
      </c>
      <c r="F21">
        <v>25</v>
      </c>
      <c r="G21">
        <v>2</v>
      </c>
      <c r="H21">
        <v>4</v>
      </c>
      <c r="I21">
        <v>500</v>
      </c>
      <c r="J21" t="s">
        <v>27</v>
      </c>
      <c r="K21" t="s">
        <v>32</v>
      </c>
      <c r="L21" t="s">
        <v>33</v>
      </c>
    </row>
    <row r="22" spans="1:12" x14ac:dyDescent="0.25">
      <c r="A22" t="s">
        <v>58</v>
      </c>
      <c r="B22">
        <v>53</v>
      </c>
      <c r="C22" t="s">
        <v>35</v>
      </c>
      <c r="D22">
        <v>7500</v>
      </c>
      <c r="E22">
        <v>7</v>
      </c>
      <c r="F22">
        <v>10</v>
      </c>
      <c r="G22">
        <v>5</v>
      </c>
      <c r="H22">
        <v>5</v>
      </c>
      <c r="I22">
        <v>2396</v>
      </c>
      <c r="J22" t="s">
        <v>27</v>
      </c>
      <c r="K22" t="s">
        <v>36</v>
      </c>
      <c r="L22" t="s">
        <v>41</v>
      </c>
    </row>
    <row r="23" spans="1:12" x14ac:dyDescent="0.25">
      <c r="A23" t="s">
        <v>59</v>
      </c>
      <c r="B23">
        <v>54</v>
      </c>
      <c r="C23" t="s">
        <v>26</v>
      </c>
      <c r="D23">
        <v>3100</v>
      </c>
      <c r="E23">
        <v>3</v>
      </c>
      <c r="F23">
        <v>30</v>
      </c>
      <c r="G23">
        <v>4</v>
      </c>
      <c r="H23">
        <v>3</v>
      </c>
      <c r="I23">
        <v>1697</v>
      </c>
      <c r="J23" t="s">
        <v>27</v>
      </c>
      <c r="K23" t="s">
        <v>32</v>
      </c>
      <c r="L23" t="s">
        <v>33</v>
      </c>
    </row>
    <row r="24" spans="1:12" x14ac:dyDescent="0.25">
      <c r="A24" t="s">
        <v>60</v>
      </c>
      <c r="B24">
        <v>36</v>
      </c>
      <c r="C24" t="s">
        <v>35</v>
      </c>
      <c r="D24">
        <v>6200</v>
      </c>
      <c r="E24">
        <v>6</v>
      </c>
      <c r="F24">
        <v>10</v>
      </c>
      <c r="G24">
        <v>3</v>
      </c>
      <c r="H24">
        <v>4</v>
      </c>
      <c r="I24">
        <v>2456</v>
      </c>
      <c r="J24" t="s">
        <v>27</v>
      </c>
      <c r="K24" t="s">
        <v>28</v>
      </c>
      <c r="L24" t="s">
        <v>33</v>
      </c>
    </row>
    <row r="25" spans="1:12" x14ac:dyDescent="0.25">
      <c r="A25" t="s">
        <v>61</v>
      </c>
      <c r="B25">
        <v>56</v>
      </c>
      <c r="C25" t="s">
        <v>26</v>
      </c>
      <c r="D25">
        <v>4900</v>
      </c>
      <c r="E25">
        <v>4</v>
      </c>
      <c r="F25">
        <v>15</v>
      </c>
      <c r="G25">
        <v>4</v>
      </c>
      <c r="H25">
        <v>5</v>
      </c>
      <c r="I25">
        <v>1736</v>
      </c>
      <c r="J25" t="s">
        <v>27</v>
      </c>
      <c r="K25" t="s">
        <v>38</v>
      </c>
      <c r="L25" t="s">
        <v>33</v>
      </c>
    </row>
    <row r="26" spans="1:12" x14ac:dyDescent="0.25">
      <c r="A26" t="s">
        <v>62</v>
      </c>
      <c r="B26">
        <v>32</v>
      </c>
      <c r="C26" t="s">
        <v>35</v>
      </c>
      <c r="D26">
        <v>5800</v>
      </c>
      <c r="E26">
        <v>7</v>
      </c>
      <c r="F26">
        <v>10</v>
      </c>
      <c r="G26">
        <v>3</v>
      </c>
      <c r="H26">
        <v>5</v>
      </c>
      <c r="I26">
        <v>1034</v>
      </c>
      <c r="J26" t="s">
        <v>31</v>
      </c>
      <c r="K26" t="s">
        <v>38</v>
      </c>
      <c r="L26" t="s">
        <v>33</v>
      </c>
    </row>
    <row r="27" spans="1:12" x14ac:dyDescent="0.25">
      <c r="A27" t="s">
        <v>63</v>
      </c>
      <c r="B27">
        <v>30</v>
      </c>
      <c r="C27" t="s">
        <v>35</v>
      </c>
      <c r="D27">
        <v>10000</v>
      </c>
      <c r="E27">
        <v>10</v>
      </c>
      <c r="F27">
        <v>30</v>
      </c>
      <c r="G27">
        <v>2</v>
      </c>
      <c r="H27">
        <v>4</v>
      </c>
      <c r="I27">
        <v>3313</v>
      </c>
      <c r="J27" t="s">
        <v>31</v>
      </c>
      <c r="K27" t="s">
        <v>32</v>
      </c>
      <c r="L27" t="s">
        <v>41</v>
      </c>
    </row>
    <row r="28" spans="1:12" x14ac:dyDescent="0.25">
      <c r="A28" t="s">
        <v>64</v>
      </c>
      <c r="B28">
        <v>48</v>
      </c>
      <c r="C28" t="s">
        <v>35</v>
      </c>
      <c r="D28">
        <v>4150</v>
      </c>
      <c r="E28">
        <v>5</v>
      </c>
      <c r="F28">
        <v>5</v>
      </c>
      <c r="G28">
        <v>4</v>
      </c>
      <c r="H28">
        <v>4</v>
      </c>
      <c r="I28">
        <v>2936</v>
      </c>
      <c r="J28" t="s">
        <v>31</v>
      </c>
      <c r="K28" t="s">
        <v>36</v>
      </c>
      <c r="L28" t="s">
        <v>33</v>
      </c>
    </row>
    <row r="29" spans="1:12" x14ac:dyDescent="0.25">
      <c r="A29" t="s">
        <v>65</v>
      </c>
      <c r="B29">
        <v>46</v>
      </c>
      <c r="C29" t="s">
        <v>35</v>
      </c>
      <c r="D29">
        <v>10800</v>
      </c>
      <c r="E29">
        <v>10</v>
      </c>
      <c r="F29">
        <v>0</v>
      </c>
      <c r="G29">
        <v>3</v>
      </c>
      <c r="H29">
        <v>4</v>
      </c>
      <c r="I29">
        <v>2279</v>
      </c>
      <c r="J29" t="s">
        <v>27</v>
      </c>
      <c r="K29" t="s">
        <v>32</v>
      </c>
      <c r="L29" t="s">
        <v>41</v>
      </c>
    </row>
    <row r="30" spans="1:12" x14ac:dyDescent="0.25">
      <c r="A30" t="s">
        <v>66</v>
      </c>
      <c r="B30">
        <v>26</v>
      </c>
      <c r="C30" t="s">
        <v>26</v>
      </c>
      <c r="D30">
        <v>7000</v>
      </c>
      <c r="E30">
        <v>7</v>
      </c>
      <c r="F30">
        <v>10</v>
      </c>
      <c r="G30">
        <v>7</v>
      </c>
      <c r="H30">
        <v>4</v>
      </c>
      <c r="I30">
        <v>3001</v>
      </c>
      <c r="J30" t="s">
        <v>31</v>
      </c>
      <c r="K30" t="s">
        <v>32</v>
      </c>
      <c r="L30" t="s">
        <v>33</v>
      </c>
    </row>
    <row r="31" spans="1:12" x14ac:dyDescent="0.25">
      <c r="A31" t="s">
        <v>67</v>
      </c>
      <c r="B31">
        <v>54</v>
      </c>
      <c r="C31" t="s">
        <v>35</v>
      </c>
      <c r="D31">
        <v>4000</v>
      </c>
      <c r="E31">
        <v>5</v>
      </c>
      <c r="F31">
        <v>30</v>
      </c>
      <c r="G31">
        <v>6</v>
      </c>
      <c r="H31">
        <v>3</v>
      </c>
      <c r="I31">
        <v>1566</v>
      </c>
      <c r="J31" t="s">
        <v>27</v>
      </c>
      <c r="K31" t="s">
        <v>32</v>
      </c>
      <c r="L31" t="s">
        <v>33</v>
      </c>
    </row>
    <row r="32" spans="1:12" x14ac:dyDescent="0.25">
      <c r="A32" t="s">
        <v>68</v>
      </c>
      <c r="B32">
        <v>28</v>
      </c>
      <c r="C32" t="s">
        <v>35</v>
      </c>
      <c r="D32">
        <v>1800</v>
      </c>
      <c r="E32">
        <v>2</v>
      </c>
      <c r="F32">
        <v>25</v>
      </c>
      <c r="G32">
        <v>2</v>
      </c>
      <c r="H32">
        <v>5</v>
      </c>
      <c r="I32">
        <v>1256</v>
      </c>
      <c r="J32" t="s">
        <v>27</v>
      </c>
      <c r="K32" t="s">
        <v>38</v>
      </c>
      <c r="L32" t="s">
        <v>29</v>
      </c>
    </row>
    <row r="33" spans="1:12" x14ac:dyDescent="0.25">
      <c r="A33" t="s">
        <v>69</v>
      </c>
      <c r="B33">
        <v>53</v>
      </c>
      <c r="C33" t="s">
        <v>35</v>
      </c>
      <c r="D33">
        <v>12500</v>
      </c>
      <c r="E33">
        <v>11</v>
      </c>
      <c r="F33">
        <v>20</v>
      </c>
      <c r="G33">
        <v>2</v>
      </c>
      <c r="H33">
        <v>5</v>
      </c>
      <c r="I33">
        <v>2966</v>
      </c>
      <c r="J33" t="s">
        <v>31</v>
      </c>
      <c r="K33" t="s">
        <v>32</v>
      </c>
      <c r="L33" t="s">
        <v>41</v>
      </c>
    </row>
    <row r="34" spans="1:12" x14ac:dyDescent="0.25">
      <c r="A34" t="s">
        <v>70</v>
      </c>
      <c r="B34">
        <v>21</v>
      </c>
      <c r="C34" t="s">
        <v>35</v>
      </c>
      <c r="D34">
        <v>6600</v>
      </c>
      <c r="E34">
        <v>8</v>
      </c>
      <c r="F34">
        <v>25</v>
      </c>
      <c r="G34">
        <v>3</v>
      </c>
      <c r="H34">
        <v>4</v>
      </c>
      <c r="I34">
        <v>2135</v>
      </c>
      <c r="J34" t="s">
        <v>27</v>
      </c>
      <c r="K34" t="s">
        <v>36</v>
      </c>
      <c r="L34" t="s">
        <v>33</v>
      </c>
    </row>
    <row r="35" spans="1:12" x14ac:dyDescent="0.25">
      <c r="A35" t="s">
        <v>71</v>
      </c>
      <c r="B35">
        <v>52</v>
      </c>
      <c r="C35" t="s">
        <v>26</v>
      </c>
      <c r="D35">
        <v>3250</v>
      </c>
      <c r="E35">
        <v>2</v>
      </c>
      <c r="F35">
        <v>25</v>
      </c>
      <c r="G35">
        <v>5</v>
      </c>
      <c r="H35">
        <v>3</v>
      </c>
      <c r="I35">
        <v>2460</v>
      </c>
      <c r="J35" t="s">
        <v>27</v>
      </c>
      <c r="K35" t="s">
        <v>38</v>
      </c>
      <c r="L35" t="s">
        <v>33</v>
      </c>
    </row>
    <row r="36" spans="1:12" x14ac:dyDescent="0.25">
      <c r="A36" t="s">
        <v>72</v>
      </c>
      <c r="B36">
        <v>52</v>
      </c>
      <c r="C36" t="s">
        <v>26</v>
      </c>
      <c r="D36">
        <v>11500</v>
      </c>
      <c r="E36">
        <v>10</v>
      </c>
      <c r="F36">
        <v>15</v>
      </c>
      <c r="G36">
        <v>2</v>
      </c>
      <c r="H36">
        <v>5</v>
      </c>
      <c r="I36">
        <v>3809</v>
      </c>
      <c r="J36" t="s">
        <v>31</v>
      </c>
      <c r="K36" t="s">
        <v>32</v>
      </c>
      <c r="L36" t="s">
        <v>41</v>
      </c>
    </row>
    <row r="37" spans="1:12" x14ac:dyDescent="0.25">
      <c r="A37" t="s">
        <v>73</v>
      </c>
      <c r="B37">
        <v>52</v>
      </c>
      <c r="C37" t="s">
        <v>26</v>
      </c>
      <c r="D37">
        <v>2600</v>
      </c>
      <c r="E37">
        <v>3</v>
      </c>
      <c r="F37">
        <v>10</v>
      </c>
      <c r="G37">
        <v>2</v>
      </c>
      <c r="H37">
        <v>4</v>
      </c>
      <c r="I37">
        <v>2598</v>
      </c>
      <c r="J37" t="s">
        <v>27</v>
      </c>
      <c r="K37" t="s">
        <v>32</v>
      </c>
      <c r="L37" t="s">
        <v>29</v>
      </c>
    </row>
    <row r="38" spans="1:12" x14ac:dyDescent="0.25">
      <c r="A38" t="s">
        <v>74</v>
      </c>
      <c r="B38">
        <v>47</v>
      </c>
      <c r="C38" t="s">
        <v>35</v>
      </c>
      <c r="D38">
        <v>3400</v>
      </c>
      <c r="E38">
        <v>3</v>
      </c>
      <c r="F38">
        <v>20</v>
      </c>
      <c r="G38">
        <v>3</v>
      </c>
      <c r="H38">
        <v>4</v>
      </c>
      <c r="I38">
        <v>2413</v>
      </c>
      <c r="J38" t="s">
        <v>27</v>
      </c>
      <c r="K38" t="s">
        <v>32</v>
      </c>
      <c r="L38" t="s">
        <v>33</v>
      </c>
    </row>
    <row r="39" spans="1:12" x14ac:dyDescent="0.25">
      <c r="A39" t="s">
        <v>75</v>
      </c>
      <c r="B39">
        <v>39</v>
      </c>
      <c r="C39" t="s">
        <v>26</v>
      </c>
      <c r="D39">
        <v>5050</v>
      </c>
      <c r="E39">
        <v>7</v>
      </c>
      <c r="F39">
        <v>20</v>
      </c>
      <c r="G39">
        <v>2</v>
      </c>
      <c r="H39">
        <v>5</v>
      </c>
      <c r="I39">
        <v>2296</v>
      </c>
      <c r="J39" t="s">
        <v>31</v>
      </c>
      <c r="K39" t="s">
        <v>43</v>
      </c>
      <c r="L39" t="s">
        <v>33</v>
      </c>
    </row>
    <row r="40" spans="1:12" x14ac:dyDescent="0.25">
      <c r="A40" t="s">
        <v>76</v>
      </c>
      <c r="B40">
        <v>49</v>
      </c>
      <c r="C40" t="s">
        <v>26</v>
      </c>
      <c r="D40">
        <v>4600</v>
      </c>
      <c r="E40">
        <v>3</v>
      </c>
      <c r="F40">
        <v>10</v>
      </c>
      <c r="G40">
        <v>5</v>
      </c>
      <c r="H40">
        <v>4</v>
      </c>
      <c r="I40">
        <v>3046</v>
      </c>
      <c r="J40" t="s">
        <v>31</v>
      </c>
      <c r="K40" t="s">
        <v>38</v>
      </c>
      <c r="L40" t="s">
        <v>33</v>
      </c>
    </row>
    <row r="41" spans="1:12" x14ac:dyDescent="0.25">
      <c r="A41" t="s">
        <v>77</v>
      </c>
      <c r="B41">
        <v>32</v>
      </c>
      <c r="C41" t="s">
        <v>26</v>
      </c>
      <c r="D41">
        <v>7800</v>
      </c>
      <c r="E41">
        <v>8</v>
      </c>
      <c r="F41">
        <v>0</v>
      </c>
      <c r="G41">
        <v>3</v>
      </c>
      <c r="H41">
        <v>4</v>
      </c>
      <c r="I41">
        <v>2901</v>
      </c>
      <c r="J41" t="s">
        <v>27</v>
      </c>
      <c r="K41" t="s">
        <v>32</v>
      </c>
      <c r="L41" t="s">
        <v>41</v>
      </c>
    </row>
    <row r="42" spans="1:12" x14ac:dyDescent="0.25">
      <c r="A42" t="s">
        <v>78</v>
      </c>
      <c r="B42">
        <v>52</v>
      </c>
      <c r="C42" t="s">
        <v>35</v>
      </c>
      <c r="D42">
        <v>850</v>
      </c>
      <c r="E42">
        <v>1</v>
      </c>
      <c r="F42">
        <v>20</v>
      </c>
      <c r="G42">
        <v>2</v>
      </c>
      <c r="H42">
        <v>5</v>
      </c>
      <c r="I42">
        <v>1625</v>
      </c>
      <c r="J42" t="s">
        <v>27</v>
      </c>
      <c r="K42" t="s">
        <v>36</v>
      </c>
      <c r="L42" t="s">
        <v>29</v>
      </c>
    </row>
    <row r="43" spans="1:12" x14ac:dyDescent="0.25">
      <c r="A43" t="s">
        <v>79</v>
      </c>
      <c r="B43">
        <v>43</v>
      </c>
      <c r="C43" t="s">
        <v>35</v>
      </c>
      <c r="D43">
        <v>3550</v>
      </c>
      <c r="E43">
        <v>4</v>
      </c>
      <c r="F43">
        <v>10</v>
      </c>
      <c r="G43">
        <v>7</v>
      </c>
      <c r="H43">
        <v>3</v>
      </c>
      <c r="I43">
        <v>1488</v>
      </c>
      <c r="J43" t="s">
        <v>27</v>
      </c>
      <c r="K43" t="s">
        <v>32</v>
      </c>
      <c r="L43" t="s">
        <v>33</v>
      </c>
    </row>
    <row r="44" spans="1:12" x14ac:dyDescent="0.25">
      <c r="A44" t="s">
        <v>80</v>
      </c>
      <c r="B44">
        <v>39</v>
      </c>
      <c r="C44" t="s">
        <v>26</v>
      </c>
      <c r="D44">
        <v>3850</v>
      </c>
      <c r="E44">
        <v>4</v>
      </c>
      <c r="F44">
        <v>30</v>
      </c>
      <c r="G44">
        <v>4</v>
      </c>
      <c r="H44">
        <v>4</v>
      </c>
      <c r="I44">
        <v>1790</v>
      </c>
      <c r="J44" t="s">
        <v>27</v>
      </c>
      <c r="K44" t="s">
        <v>38</v>
      </c>
      <c r="L44" t="s">
        <v>33</v>
      </c>
    </row>
    <row r="45" spans="1:12" x14ac:dyDescent="0.25">
      <c r="A45" t="s">
        <v>81</v>
      </c>
      <c r="B45">
        <v>41</v>
      </c>
      <c r="C45" t="s">
        <v>35</v>
      </c>
      <c r="D45">
        <v>22000</v>
      </c>
      <c r="E45">
        <v>12</v>
      </c>
      <c r="F45">
        <v>5</v>
      </c>
      <c r="G45">
        <v>5</v>
      </c>
      <c r="H45">
        <v>4</v>
      </c>
      <c r="I45">
        <v>5287</v>
      </c>
      <c r="J45" t="s">
        <v>31</v>
      </c>
      <c r="K45" t="s">
        <v>36</v>
      </c>
      <c r="L45" t="s">
        <v>39</v>
      </c>
    </row>
    <row r="46" spans="1:12" x14ac:dyDescent="0.25">
      <c r="A46" t="s">
        <v>82</v>
      </c>
      <c r="B46">
        <v>43</v>
      </c>
      <c r="C46" t="s">
        <v>35</v>
      </c>
      <c r="D46">
        <v>1450</v>
      </c>
      <c r="E46">
        <v>1</v>
      </c>
      <c r="F46">
        <v>5</v>
      </c>
      <c r="G46">
        <v>5</v>
      </c>
      <c r="H46">
        <v>4</v>
      </c>
      <c r="I46">
        <v>1862</v>
      </c>
      <c r="J46" t="s">
        <v>27</v>
      </c>
      <c r="K46" t="s">
        <v>38</v>
      </c>
      <c r="L46" t="s">
        <v>29</v>
      </c>
    </row>
    <row r="47" spans="1:12" x14ac:dyDescent="0.25">
      <c r="A47" t="s">
        <v>83</v>
      </c>
      <c r="B47">
        <v>22</v>
      </c>
      <c r="C47" t="s">
        <v>26</v>
      </c>
      <c r="D47">
        <v>8100</v>
      </c>
      <c r="E47">
        <v>7</v>
      </c>
      <c r="F47">
        <v>25</v>
      </c>
      <c r="G47">
        <v>4</v>
      </c>
      <c r="H47">
        <v>4</v>
      </c>
      <c r="I47">
        <v>1916</v>
      </c>
      <c r="J47" t="s">
        <v>27</v>
      </c>
      <c r="K47" t="s">
        <v>38</v>
      </c>
      <c r="L47" t="s">
        <v>41</v>
      </c>
    </row>
    <row r="48" spans="1:12" x14ac:dyDescent="0.25">
      <c r="A48" t="s">
        <v>84</v>
      </c>
      <c r="B48">
        <v>26</v>
      </c>
      <c r="C48" t="s">
        <v>26</v>
      </c>
      <c r="D48">
        <v>7200</v>
      </c>
      <c r="E48">
        <v>7</v>
      </c>
      <c r="F48">
        <v>5</v>
      </c>
      <c r="G48">
        <v>3</v>
      </c>
      <c r="H48">
        <v>4</v>
      </c>
      <c r="I48">
        <v>2993</v>
      </c>
      <c r="J48" t="s">
        <v>27</v>
      </c>
      <c r="K48" t="s">
        <v>36</v>
      </c>
      <c r="L48" t="s">
        <v>41</v>
      </c>
    </row>
    <row r="49" spans="1:12" x14ac:dyDescent="0.25">
      <c r="A49" t="s">
        <v>85</v>
      </c>
      <c r="B49">
        <v>30</v>
      </c>
      <c r="C49" t="s">
        <v>26</v>
      </c>
      <c r="D49">
        <v>1200</v>
      </c>
      <c r="E49">
        <v>1</v>
      </c>
      <c r="F49">
        <v>5</v>
      </c>
      <c r="G49">
        <v>4</v>
      </c>
      <c r="H49">
        <v>4</v>
      </c>
      <c r="I49">
        <v>1040</v>
      </c>
      <c r="J49" t="s">
        <v>27</v>
      </c>
      <c r="K49" t="s">
        <v>32</v>
      </c>
      <c r="L49" t="s">
        <v>29</v>
      </c>
    </row>
    <row r="50" spans="1:12" x14ac:dyDescent="0.25">
      <c r="A50" t="s">
        <v>86</v>
      </c>
      <c r="B50">
        <v>25</v>
      </c>
      <c r="C50" t="s">
        <v>26</v>
      </c>
      <c r="D50">
        <v>3700</v>
      </c>
      <c r="E50">
        <v>4</v>
      </c>
      <c r="F50">
        <v>15</v>
      </c>
      <c r="G50">
        <v>2</v>
      </c>
      <c r="H50">
        <v>5</v>
      </c>
      <c r="I50">
        <v>2475</v>
      </c>
      <c r="J50" t="s">
        <v>27</v>
      </c>
      <c r="K50" t="s">
        <v>32</v>
      </c>
      <c r="L50" t="s">
        <v>33</v>
      </c>
    </row>
    <row r="51" spans="1:12" x14ac:dyDescent="0.25">
      <c r="A51" t="s">
        <v>87</v>
      </c>
      <c r="B51">
        <v>38</v>
      </c>
      <c r="C51" t="s">
        <v>35</v>
      </c>
      <c r="D51">
        <v>2900</v>
      </c>
      <c r="E51">
        <v>3</v>
      </c>
      <c r="F51">
        <v>25</v>
      </c>
      <c r="G51">
        <v>5</v>
      </c>
      <c r="H51">
        <v>5</v>
      </c>
      <c r="I51">
        <v>2026</v>
      </c>
      <c r="J51" t="s">
        <v>27</v>
      </c>
      <c r="K51" t="s">
        <v>32</v>
      </c>
      <c r="L51" t="s">
        <v>29</v>
      </c>
    </row>
    <row r="53" spans="1:12" x14ac:dyDescent="0.25">
      <c r="C53" t="s">
        <v>88</v>
      </c>
      <c r="D53">
        <f>AVERAGE(D2:D51)</f>
        <v>6939</v>
      </c>
    </row>
    <row r="55" spans="1:12" x14ac:dyDescent="0.25">
      <c r="C55" t="s">
        <v>89</v>
      </c>
      <c r="D55">
        <f>MEDIAN(D2:D51)</f>
        <v>5500</v>
      </c>
    </row>
    <row r="57" spans="1:12" x14ac:dyDescent="0.25">
      <c r="C57" t="s">
        <v>90</v>
      </c>
      <c r="D57" t="e">
        <f>_xlfn.MODE.SNGL(D2:D51)</f>
        <v>#N/A</v>
      </c>
    </row>
    <row r="59" spans="1:12" x14ac:dyDescent="0.25">
      <c r="C59" t="s">
        <v>91</v>
      </c>
      <c r="D59">
        <f>_xlfn.VAR.P(D2:D51)</f>
        <v>29088229</v>
      </c>
    </row>
    <row r="61" spans="1:12" x14ac:dyDescent="0.25">
      <c r="C61" t="s">
        <v>92</v>
      </c>
      <c r="D61" s="2">
        <f>_xlfn.STDEV.P(D2:D51)</f>
        <v>5393.3504429065242</v>
      </c>
    </row>
    <row r="63" spans="1:12" x14ac:dyDescent="0.25">
      <c r="C63" t="s">
        <v>93</v>
      </c>
      <c r="D63">
        <f>_xlfn.QUARTILE.INC(D2:D51,1)</f>
        <v>3587.5</v>
      </c>
    </row>
    <row r="65" spans="3:4" x14ac:dyDescent="0.25">
      <c r="C65" t="s">
        <v>94</v>
      </c>
      <c r="D65">
        <f>_xlfn.QUARTILE.INC(D2:D51,2)</f>
        <v>5500</v>
      </c>
    </row>
    <row r="67" spans="3:4" x14ac:dyDescent="0.25">
      <c r="C67" t="s">
        <v>95</v>
      </c>
      <c r="D67">
        <f>_xlfn.QUARTILE.INC(D2:D51,3)</f>
        <v>8325</v>
      </c>
    </row>
    <row r="69" spans="3:4" x14ac:dyDescent="0.25">
      <c r="C69" t="s">
        <v>100</v>
      </c>
      <c r="D69">
        <f>D67-D63</f>
        <v>4737.5</v>
      </c>
    </row>
    <row r="71" spans="3:4" x14ac:dyDescent="0.25">
      <c r="C71" t="s">
        <v>96</v>
      </c>
      <c r="D71">
        <f>_xlfn.PERCENTILE.INC(D2:D51,0.25)</f>
        <v>3587.5</v>
      </c>
    </row>
    <row r="73" spans="3:4" x14ac:dyDescent="0.25">
      <c r="C73" t="s">
        <v>97</v>
      </c>
      <c r="D73">
        <f>_xlfn.PERCENTILE.INC(D2:D51,0.5)</f>
        <v>5500</v>
      </c>
    </row>
    <row r="75" spans="3:4" x14ac:dyDescent="0.25">
      <c r="C75" t="s">
        <v>98</v>
      </c>
      <c r="D75">
        <f>_xlfn.PERCENTILE.INC(D2:D51,0.75)</f>
        <v>8325</v>
      </c>
    </row>
    <row r="77" spans="3:4" x14ac:dyDescent="0.25">
      <c r="C77" t="s">
        <v>99</v>
      </c>
      <c r="D77">
        <f>_xlfn.PERCENTILE.INC(D2:D51,0.9)</f>
        <v>12650.000000000002</v>
      </c>
    </row>
    <row r="79" spans="3:4" x14ac:dyDescent="0.25">
      <c r="C79" t="s">
        <v>101</v>
      </c>
      <c r="D79">
        <f>D63-(1.5*D69)</f>
        <v>-3518.75</v>
      </c>
    </row>
    <row r="81" spans="3:4" x14ac:dyDescent="0.25">
      <c r="C81" t="s">
        <v>101</v>
      </c>
      <c r="D81">
        <f>D67+(1.5*D69)</f>
        <v>15431.25</v>
      </c>
    </row>
    <row r="83" spans="3:4" x14ac:dyDescent="0.25">
      <c r="C83" t="s">
        <v>102</v>
      </c>
      <c r="D83" s="2">
        <f>AVERAGEIF(D2:D51,"&lt;=15431.25",D2:D51)</f>
        <v>5683.695652173913</v>
      </c>
    </row>
    <row r="85" spans="3:4" x14ac:dyDescent="0.25">
      <c r="C85" t="s">
        <v>103</v>
      </c>
      <c r="D85" s="3">
        <f>KURT(D2:D51)</f>
        <v>6.3928020483431194</v>
      </c>
    </row>
    <row r="87" spans="3:4" x14ac:dyDescent="0.25">
      <c r="C87" t="s">
        <v>104</v>
      </c>
      <c r="D87">
        <f>COUNTIF(J2:J51,"Yes")/COUNTA(J2:J51)</f>
        <v>0.32</v>
      </c>
    </row>
    <row r="89" spans="3:4" x14ac:dyDescent="0.25">
      <c r="C89" t="s">
        <v>105</v>
      </c>
      <c r="D89">
        <f>COUNTIF(F2:F51,"&gt;20")/COUNT(F2:F51)</f>
        <v>0.28000000000000003</v>
      </c>
    </row>
    <row r="91" spans="3:4" x14ac:dyDescent="0.25">
      <c r="C91" t="s">
        <v>106</v>
      </c>
      <c r="D91">
        <f>COUNTIF(G2:G51,"&gt;5")/COUNT(G2:G51)</f>
        <v>0.1</v>
      </c>
    </row>
    <row r="93" spans="3:4" x14ac:dyDescent="0.25">
      <c r="C93" t="s">
        <v>107</v>
      </c>
      <c r="D93" s="2">
        <f>COUNTIFS(D2:D51,"&gt;5000",J2:J51,"Yes")/COUNTIF(D2:D51,"&gt;5000")*100</f>
        <v>46.428571428571431</v>
      </c>
    </row>
    <row r="95" spans="3:4" x14ac:dyDescent="0.25">
      <c r="C95" t="s">
        <v>108</v>
      </c>
      <c r="D95">
        <f>COUNTIF(J2:J51,"Yes")/COUNTA(J2:J51)*100</f>
        <v>32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Read_Me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S0040569</cp:lastModifiedBy>
  <dcterms:created xsi:type="dcterms:W3CDTF">2026-08-21T12:31:06Z</dcterms:created>
  <dcterms:modified xsi:type="dcterms:W3CDTF">2026-08-26T15:34:06Z</dcterms:modified>
</cp:coreProperties>
</file>